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korn/github/Datacom_Status_Tracking_FE/public/templates/"/>
    </mc:Choice>
  </mc:AlternateContent>
  <xr:revisionPtr revIDLastSave="0" documentId="13_ncr:1_{1B943986-E136-004C-816C-0228D7F45DE4}" xr6:coauthVersionLast="47" xr6:coauthVersionMax="47" xr10:uidLastSave="{00000000-0000-0000-0000-000000000000}"/>
  <bookViews>
    <workbookView xWindow="0" yWindow="680" windowWidth="34200" windowHeight="19860" xr2:uid="{00000000-000D-0000-FFFF-FFFF00000000}"/>
  </bookViews>
  <sheets>
    <sheet name="ใบเสนอราคา2026" sheetId="11" r:id="rId1"/>
  </sheets>
  <definedNames>
    <definedName name="_xlnm.Print_Area" localSheetId="0">ใบเสนอราคา2026!$B$1:$AW$48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5" i="11" l="1"/>
  <c r="AR34" i="11"/>
  <c r="AR31" i="11"/>
  <c r="AR30" i="11"/>
  <c r="AR29" i="11"/>
  <c r="AR28" i="11"/>
  <c r="AR27" i="11"/>
  <c r="AR26" i="11"/>
  <c r="AR24" i="11"/>
  <c r="AR23" i="11"/>
  <c r="AR22" i="11"/>
  <c r="AR21" i="11"/>
  <c r="AR20" i="11"/>
  <c r="AR19" i="11"/>
  <c r="AR18" i="11"/>
  <c r="AR17" i="11"/>
  <c r="AR16" i="11"/>
  <c r="AR38" i="11" l="1"/>
  <c r="B36" i="11" s="1"/>
  <c r="AR36" i="11" l="1"/>
  <c r="AR37" i="11" s="1"/>
</calcChain>
</file>

<file path=xl/sharedStrings.xml><?xml version="1.0" encoding="utf-8"?>
<sst xmlns="http://schemas.openxmlformats.org/spreadsheetml/2006/main" count="54" uniqueCount="39">
  <si>
    <t xml:space="preserve">187/15 ถ.มาตุลี ต.ปากน้ำโพ อ.เมือง จ.นครสวรรค์ 60000 </t>
  </si>
  <si>
    <t>โทร.0-5631-3355, 0-5622-3547 FAX.0-5623-1539</t>
  </si>
  <si>
    <t>DATA COM &amp; SERVICE CO.,LTD.</t>
  </si>
  <si>
    <t>เลขประจำตัวผู้เสียภาษีอากร</t>
  </si>
  <si>
    <t>วันที่</t>
  </si>
  <si>
    <t>เลขที่</t>
  </si>
  <si>
    <t>ลำดับ</t>
  </si>
  <si>
    <t>รายละเอียดสินค้า</t>
  </si>
  <si>
    <t>จำนวนเงิน</t>
  </si>
  <si>
    <t>จำนวน</t>
  </si>
  <si>
    <t>No.</t>
  </si>
  <si>
    <t>Description</t>
  </si>
  <si>
    <t>Quantity</t>
  </si>
  <si>
    <t>Unit Price</t>
  </si>
  <si>
    <t>Amount</t>
  </si>
  <si>
    <t>รวมมูลค่าสินค้าหรือบริการ</t>
  </si>
  <si>
    <t>ภาษีมูลค่าเพิ่ม VAT 7 %</t>
  </si>
  <si>
    <t>จำนวนเงินรวมทั้งสิ้น</t>
  </si>
  <si>
    <r>
      <t xml:space="preserve">เลขประจำตัวผู้เสียภาษีอากร  </t>
    </r>
    <r>
      <rPr>
        <b/>
        <sz val="14"/>
        <color theme="1"/>
        <rFont val="TH Sarabun New"/>
        <family val="2"/>
      </rPr>
      <t>0605547000315</t>
    </r>
  </si>
  <si>
    <t>Price Validity</t>
  </si>
  <si>
    <t>Delivery Within</t>
  </si>
  <si>
    <t>Payment Term</t>
  </si>
  <si>
    <t>Days</t>
  </si>
  <si>
    <t>Cash</t>
  </si>
  <si>
    <t xml:space="preserve">Credit </t>
  </si>
  <si>
    <t>Government</t>
  </si>
  <si>
    <t>กรุณาลงชื่อในใบเสนอราคาเพื่อใช้แทนใบสั่งซื้อสินค้า เมื่อท่านตกลงสั่งซื้อสินค้าตามรายการข้างต้นแล้ว</t>
  </si>
  <si>
    <t>ผู้เสนอราคา</t>
  </si>
  <si>
    <t>(                                                            )</t>
  </si>
  <si>
    <t>ผู้ซื้อ</t>
  </si>
  <si>
    <t>พนักงานขาย</t>
  </si>
  <si>
    <r>
      <t xml:space="preserve">ยืนยันราคาที่เสนอภายใน </t>
    </r>
    <r>
      <rPr>
        <b/>
        <u/>
        <sz val="16"/>
        <color theme="1"/>
        <rFont val="TH Sarabun New"/>
        <family val="2"/>
      </rPr>
      <t xml:space="preserve">       </t>
    </r>
    <r>
      <rPr>
        <b/>
        <sz val="16"/>
        <color theme="1"/>
        <rFont val="TH Sarabun New"/>
        <family val="2"/>
      </rPr>
      <t>วัน</t>
    </r>
  </si>
  <si>
    <t xml:space="preserve">      บริษัทฯ ขอเสนอสินค้า เพื่อจำหน่าย หรือบริการแก่ท่าน ตามรายละเอียดและราคาดังกล่าวด้านล่างนี้</t>
  </si>
  <si>
    <t>¨</t>
  </si>
  <si>
    <r>
      <t>ใบเสนอราคา/</t>
    </r>
    <r>
      <rPr>
        <b/>
        <sz val="14"/>
        <color theme="1"/>
        <rFont val="TH Sarabun New"/>
        <family val="2"/>
      </rPr>
      <t>Quotation</t>
    </r>
  </si>
  <si>
    <t xml:space="preserve"> ชื่อลูกค้า</t>
  </si>
  <si>
    <t xml:space="preserve"> ที่อยู่</t>
  </si>
  <si>
    <t>บริษัท ดาต้า คอม แอนด์ เซอร์วิส จำกัด (สำนักงานใหญ่)</t>
  </si>
  <si>
    <t>นางสาวปุญญาดา เทวาประภาพงษ์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</si>
</sst>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."/>
    <numFmt numFmtId="166" formatCode="#,##0.00_ ;\-#,##0.00\ "/>
  </numFmts>
  <fonts count="3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sz val="14"/>
      <color theme="1"/>
      <name val="TH Sarabun New"/>
      <family val="2"/>
    </font>
    <font>
      <b/>
      <sz val="16"/>
      <color theme="1"/>
      <name val="TH Sarabun New"/>
      <family val="2"/>
    </font>
    <font>
      <b/>
      <sz val="22"/>
      <color theme="1"/>
      <name val="TH Sarabun New"/>
      <family val="2"/>
    </font>
    <font>
      <sz val="15"/>
      <color theme="1"/>
      <name val="TH Sarabun New"/>
      <family val="2"/>
    </font>
    <font>
      <b/>
      <sz val="14"/>
      <color theme="1"/>
      <name val="TH Sarabun New"/>
      <family val="2"/>
    </font>
    <font>
      <sz val="13"/>
      <color theme="1"/>
      <name val="TH Sarabun New"/>
      <family val="2"/>
    </font>
    <font>
      <sz val="10"/>
      <name val="Arial"/>
      <family val="2"/>
    </font>
    <font>
      <sz val="14"/>
      <name val="Cordia New"/>
      <family val="2"/>
    </font>
    <font>
      <sz val="9"/>
      <name val="Microsoft Sans Serif"/>
      <family val="2"/>
      <charset val="222"/>
    </font>
    <font>
      <i/>
      <sz val="9"/>
      <name val="Microsoft Sans Serif"/>
      <family val="2"/>
      <charset val="222"/>
    </font>
    <font>
      <i/>
      <sz val="9"/>
      <color rgb="FF800080"/>
      <name val="Microsoft Sans Serif"/>
      <family val="2"/>
      <charset val="222"/>
    </font>
    <font>
      <b/>
      <i/>
      <sz val="9"/>
      <color rgb="FF800080"/>
      <name val="Microsoft Sans Serif"/>
      <family val="2"/>
      <charset val="222"/>
    </font>
    <font>
      <b/>
      <sz val="9"/>
      <color rgb="FF800080"/>
      <name val="Microsoft Sans Serif"/>
      <family val="2"/>
      <charset val="222"/>
    </font>
    <font>
      <i/>
      <sz val="9"/>
      <color indexed="21"/>
      <name val="Microsoft Sans Serif"/>
      <family val="2"/>
      <charset val="222"/>
    </font>
    <font>
      <b/>
      <sz val="9"/>
      <name val="Microsoft Sans Serif"/>
      <family val="2"/>
      <charset val="222"/>
    </font>
    <font>
      <b/>
      <i/>
      <sz val="9"/>
      <color indexed="21"/>
      <name val="Microsoft Sans Serif"/>
      <family val="2"/>
      <charset val="222"/>
    </font>
    <font>
      <b/>
      <sz val="9"/>
      <color indexed="56"/>
      <name val="Microsoft Sans Serif"/>
      <family val="2"/>
      <charset val="222"/>
    </font>
    <font>
      <i/>
      <sz val="9"/>
      <color indexed="10"/>
      <name val="Microsoft Sans Serif"/>
      <family val="2"/>
    </font>
    <font>
      <sz val="9"/>
      <color rgb="FFFF0000"/>
      <name val="Tahoma"/>
      <family val="2"/>
    </font>
    <font>
      <i/>
      <sz val="11"/>
      <name val="FreesiaUPC"/>
      <family val="2"/>
      <charset val="222"/>
    </font>
    <font>
      <sz val="8"/>
      <name val="Microsoft Sans Serif"/>
      <family val="2"/>
      <charset val="222"/>
    </font>
    <font>
      <i/>
      <sz val="8"/>
      <name val="Microsoft Sans Serif"/>
      <family val="2"/>
      <charset val="222"/>
    </font>
    <font>
      <b/>
      <i/>
      <sz val="14"/>
      <color theme="1"/>
      <name val="TH Sarabun New"/>
      <family val="2"/>
    </font>
    <font>
      <b/>
      <u/>
      <sz val="16"/>
      <color theme="1"/>
      <name val="TH Sarabun New"/>
      <family val="2"/>
    </font>
    <font>
      <b/>
      <sz val="14"/>
      <color rgb="FF7030A0"/>
      <name val="TH Sarabun New"/>
      <family val="2"/>
    </font>
    <font>
      <b/>
      <sz val="10"/>
      <color rgb="FF800080"/>
      <name val="Microsoft Sans Serif"/>
      <family val="2"/>
    </font>
    <font>
      <sz val="12"/>
      <color theme="1"/>
      <name val="Wingdings"/>
      <charset val="2"/>
    </font>
    <font>
      <i/>
      <sz val="10"/>
      <color rgb="FF800080"/>
      <name val="Microsoft Sans Serif"/>
      <family val="2"/>
    </font>
    <font>
      <b/>
      <sz val="15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theme="1"/>
      </bottom>
      <diagonal/>
    </border>
    <border>
      <left/>
      <right/>
      <top style="dotted">
        <color theme="1"/>
      </top>
      <bottom style="dotted">
        <color theme="1"/>
      </bottom>
      <diagonal/>
    </border>
    <border>
      <left/>
      <right/>
      <top/>
      <bottom style="double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0" fontId="10" fillId="0" borderId="0"/>
  </cellStyleXfs>
  <cellXfs count="97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1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4" fillId="0" borderId="0" xfId="3" applyFont="1" applyAlignment="1">
      <alignment vertical="center"/>
    </xf>
    <xf numFmtId="0" fontId="15" fillId="0" borderId="0" xfId="3" applyFont="1" applyAlignment="1">
      <alignment vertical="center"/>
    </xf>
    <xf numFmtId="0" fontId="16" fillId="0" borderId="0" xfId="3" applyFont="1" applyAlignment="1">
      <alignment vertical="center"/>
    </xf>
    <xf numFmtId="0" fontId="17" fillId="0" borderId="0" xfId="3" applyFont="1" applyAlignment="1">
      <alignment vertical="center"/>
    </xf>
    <xf numFmtId="0" fontId="18" fillId="0" borderId="0" xfId="3" applyFont="1" applyAlignment="1">
      <alignment vertical="center"/>
    </xf>
    <xf numFmtId="0" fontId="11" fillId="0" borderId="0" xfId="3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23" fillId="0" borderId="0" xfId="3" applyFont="1" applyAlignment="1">
      <alignment horizontal="center" vertical="center"/>
    </xf>
    <xf numFmtId="0" fontId="24" fillId="0" borderId="0" xfId="3" applyFont="1" applyAlignment="1">
      <alignment vertical="center"/>
    </xf>
    <xf numFmtId="0" fontId="20" fillId="0" borderId="0" xfId="3" applyFont="1" applyAlignment="1">
      <alignment vertical="center"/>
    </xf>
    <xf numFmtId="0" fontId="22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20" fillId="0" borderId="14" xfId="3" applyFont="1" applyBorder="1" applyAlignment="1">
      <alignment vertical="center"/>
    </xf>
    <xf numFmtId="0" fontId="20" fillId="0" borderId="15" xfId="3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6" fontId="3" fillId="0" borderId="2" xfId="1" applyNumberFormat="1" applyFont="1" applyBorder="1" applyAlignment="1">
      <alignment horizontal="right" vertical="center"/>
    </xf>
    <xf numFmtId="166" fontId="3" fillId="0" borderId="0" xfId="1" applyNumberFormat="1" applyFont="1" applyBorder="1" applyAlignment="1">
      <alignment horizontal="right" vertical="center"/>
    </xf>
    <xf numFmtId="166" fontId="3" fillId="0" borderId="3" xfId="1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64" fontId="3" fillId="0" borderId="0" xfId="1" applyFont="1" applyBorder="1" applyAlignment="1">
      <alignment horizontal="right" vertical="center"/>
    </xf>
    <xf numFmtId="164" fontId="3" fillId="0" borderId="3" xfId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1" fillId="0" borderId="0" xfId="3" applyFont="1" applyAlignment="1">
      <alignment horizontal="center" vertical="top"/>
    </xf>
    <xf numFmtId="0" fontId="11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0" fontId="21" fillId="0" borderId="16" xfId="3" applyFont="1" applyBorder="1" applyAlignment="1">
      <alignment horizontal="center" vertical="center"/>
    </xf>
    <xf numFmtId="0" fontId="11" fillId="0" borderId="0" xfId="3" applyFont="1" applyAlignment="1">
      <alignment horizontal="center"/>
    </xf>
    <xf numFmtId="0" fontId="7" fillId="0" borderId="0" xfId="0" applyFont="1" applyAlignment="1">
      <alignment horizontal="left" vertical="center"/>
    </xf>
    <xf numFmtId="166" fontId="3" fillId="0" borderId="0" xfId="1" applyNumberFormat="1" applyFont="1" applyBorder="1" applyAlignment="1">
      <alignment horizontal="right" vertical="center"/>
    </xf>
    <xf numFmtId="0" fontId="11" fillId="0" borderId="13" xfId="3" applyFont="1" applyBorder="1" applyAlignment="1">
      <alignment horizontal="center" vertical="center"/>
    </xf>
    <xf numFmtId="4" fontId="19" fillId="0" borderId="0" xfId="3" applyNumberFormat="1" applyFont="1" applyAlignment="1">
      <alignment horizontal="right" vertical="center"/>
    </xf>
    <xf numFmtId="0" fontId="30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6" fontId="3" fillId="0" borderId="17" xfId="1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4" fontId="3" fillId="0" borderId="0" xfId="1" applyFont="1" applyBorder="1" applyAlignment="1">
      <alignment horizontal="right" vertical="center"/>
    </xf>
    <xf numFmtId="164" fontId="3" fillId="0" borderId="3" xfId="1" applyFont="1" applyBorder="1" applyAlignment="1">
      <alignment horizontal="right" vertical="center"/>
    </xf>
    <xf numFmtId="166" fontId="3" fillId="0" borderId="2" xfId="1" applyNumberFormat="1" applyFont="1" applyBorder="1" applyAlignment="1">
      <alignment horizontal="right" vertical="center"/>
    </xf>
    <xf numFmtId="166" fontId="3" fillId="0" borderId="3" xfId="1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2" xfId="1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7" fillId="0" borderId="11" xfId="0" applyFont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</cellXfs>
  <cellStyles count="4">
    <cellStyle name="Comma" xfId="1" builtinId="3"/>
    <cellStyle name="Normal" xfId="0" builtinId="0"/>
    <cellStyle name="Normal 2 2" xfId="2" xr:uid="{00000000-0005-0000-0000-000000000000}"/>
    <cellStyle name="ปกติ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63500</xdr:colOff>
      <xdr:row>5</xdr:row>
      <xdr:rowOff>0</xdr:rowOff>
    </xdr:from>
    <xdr:to>
      <xdr:col>49</xdr:col>
      <xdr:colOff>0</xdr:colOff>
      <xdr:row>9</xdr:row>
      <xdr:rowOff>25400</xdr:rowOff>
    </xdr:to>
    <xdr:sp macro="" textlink="">
      <xdr:nvSpPr>
        <xdr:cNvPr id="2" name="Rounded Rectangle 2">
          <a:extLst>
            <a:ext uri="{FF2B5EF4-FFF2-40B4-BE49-F238E27FC236}">
              <a16:creationId xmlns:a16="http://schemas.microsoft.com/office/drawing/2014/main" id="{649C1DEA-6BED-4B8F-82A4-F193C41E4B12}"/>
            </a:ext>
          </a:extLst>
        </xdr:cNvPr>
        <xdr:cNvSpPr/>
      </xdr:nvSpPr>
      <xdr:spPr>
        <a:xfrm>
          <a:off x="4711700" y="1455420"/>
          <a:ext cx="2275840" cy="1122680"/>
        </a:xfrm>
        <a:prstGeom prst="roundRect">
          <a:avLst>
            <a:gd name="adj" fmla="val 439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14</xdr:col>
      <xdr:colOff>4765</xdr:colOff>
      <xdr:row>38</xdr:row>
      <xdr:rowOff>176210</xdr:rowOff>
    </xdr:from>
    <xdr:to>
      <xdr:col>15</xdr:col>
      <xdr:colOff>47628</xdr:colOff>
      <xdr:row>40</xdr:row>
      <xdr:rowOff>19046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26E163F9-E8DA-460E-984E-F81503B9FA41}"/>
            </a:ext>
          </a:extLst>
        </xdr:cNvPr>
        <xdr:cNvSpPr txBox="1"/>
      </xdr:nvSpPr>
      <xdr:spPr>
        <a:xfrm>
          <a:off x="2046925" y="8550590"/>
          <a:ext cx="187643" cy="231456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>
              <a:latin typeface="Yu Gothic Light" panose="020B0300000000000000" pitchFamily="34" charset="-128"/>
              <a:ea typeface="Yu Gothic Light" panose="020B0300000000000000" pitchFamily="34" charset="-128"/>
            </a:rPr>
            <a:t>√</a:t>
          </a:r>
          <a:endParaRPr lang="th-TH" sz="1100" b="1"/>
        </a:p>
      </xdr:txBody>
    </xdr:sp>
    <xdr:clientData/>
  </xdr:twoCellAnchor>
  <xdr:twoCellAnchor>
    <xdr:from>
      <xdr:col>1</xdr:col>
      <xdr:colOff>42863</xdr:colOff>
      <xdr:row>5</xdr:row>
      <xdr:rowOff>0</xdr:rowOff>
    </xdr:from>
    <xdr:to>
      <xdr:col>32</xdr:col>
      <xdr:colOff>19050</xdr:colOff>
      <xdr:row>9</xdr:row>
      <xdr:rowOff>25400</xdr:rowOff>
    </xdr:to>
    <xdr:sp macro="" textlink="">
      <xdr:nvSpPr>
        <xdr:cNvPr id="4" name="Rounded Rectangle 4">
          <a:extLst>
            <a:ext uri="{FF2B5EF4-FFF2-40B4-BE49-F238E27FC236}">
              <a16:creationId xmlns:a16="http://schemas.microsoft.com/office/drawing/2014/main" id="{3B55BE05-34DE-4850-919B-6EE8718050BC}"/>
            </a:ext>
          </a:extLst>
        </xdr:cNvPr>
        <xdr:cNvSpPr/>
      </xdr:nvSpPr>
      <xdr:spPr>
        <a:xfrm>
          <a:off x="80963" y="1455420"/>
          <a:ext cx="4586287" cy="1122680"/>
        </a:xfrm>
        <a:prstGeom prst="roundRect">
          <a:avLst>
            <a:gd name="adj" fmla="val 4975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9534</xdr:colOff>
      <xdr:row>3</xdr:row>
      <xdr:rowOff>57149</xdr:rowOff>
    </xdr:from>
    <xdr:to>
      <xdr:col>48</xdr:col>
      <xdr:colOff>119062</xdr:colOff>
      <xdr:row>4</xdr:row>
      <xdr:rowOff>214312</xdr:rowOff>
    </xdr:to>
    <xdr:sp macro="" textlink="">
      <xdr:nvSpPr>
        <xdr:cNvPr id="5" name="Rounded Rectangle 5">
          <a:extLst>
            <a:ext uri="{FF2B5EF4-FFF2-40B4-BE49-F238E27FC236}">
              <a16:creationId xmlns:a16="http://schemas.microsoft.com/office/drawing/2014/main" id="{4EB4298A-BC37-446C-B43F-EC35F69961A7}"/>
            </a:ext>
          </a:extLst>
        </xdr:cNvPr>
        <xdr:cNvSpPr/>
      </xdr:nvSpPr>
      <xdr:spPr>
        <a:xfrm>
          <a:off x="5253047" y="981074"/>
          <a:ext cx="1490653" cy="400051"/>
        </a:xfrm>
        <a:prstGeom prst="roundRect">
          <a:avLst>
            <a:gd name="adj" fmla="val 1310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2</xdr:col>
      <xdr:colOff>50754</xdr:colOff>
      <xdr:row>0</xdr:row>
      <xdr:rowOff>33819</xdr:rowOff>
    </xdr:from>
    <xdr:to>
      <xdr:col>12</xdr:col>
      <xdr:colOff>47367</xdr:colOff>
      <xdr:row>3</xdr:row>
      <xdr:rowOff>206391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47C9D89C-D40C-4368-8DF7-CEA6F138B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634" y="33819"/>
          <a:ext cx="1566333" cy="10945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121285</xdr:colOff>
      <xdr:row>37</xdr:row>
      <xdr:rowOff>176954</xdr:rowOff>
    </xdr:from>
    <xdr:to>
      <xdr:col>22</xdr:col>
      <xdr:colOff>55880</xdr:colOff>
      <xdr:row>42</xdr:row>
      <xdr:rowOff>81914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9351DA39-9D02-4DC9-861C-5F39CF6DB426}"/>
            </a:ext>
          </a:extLst>
        </xdr:cNvPr>
        <xdr:cNvSpPr>
          <a:spLocks noChangeArrowheads="1"/>
        </xdr:cNvSpPr>
      </xdr:nvSpPr>
      <xdr:spPr bwMode="auto">
        <a:xfrm>
          <a:off x="159385" y="8322734"/>
          <a:ext cx="3096895" cy="842220"/>
        </a:xfrm>
        <a:prstGeom prst="roundRect">
          <a:avLst>
            <a:gd name="adj" fmla="val 9940"/>
          </a:avLst>
        </a:prstGeom>
        <a:noFill/>
        <a:ln w="12700">
          <a:solidFill>
            <a:srgbClr val="660066"/>
          </a:solidFill>
          <a:round/>
          <a:headEnd/>
          <a:tailEnd/>
        </a:ln>
      </xdr:spPr>
    </xdr:sp>
    <xdr:clientData/>
  </xdr:twoCellAnchor>
  <xdr:oneCellAnchor>
    <xdr:from>
      <xdr:col>2</xdr:col>
      <xdr:colOff>120621</xdr:colOff>
      <xdr:row>37</xdr:row>
      <xdr:rowOff>68369</xdr:rowOff>
    </xdr:from>
    <xdr:ext cx="308033" cy="168251"/>
    <xdr:sp macro="" textlink="">
      <xdr:nvSpPr>
        <xdr:cNvPr id="8" name="Text Box 9">
          <a:extLst>
            <a:ext uri="{FF2B5EF4-FFF2-40B4-BE49-F238E27FC236}">
              <a16:creationId xmlns:a16="http://schemas.microsoft.com/office/drawing/2014/main" id="{98747D03-B839-4CEE-AC4E-15F5B68FE0CF}"/>
            </a:ext>
          </a:extLst>
        </xdr:cNvPr>
        <xdr:cNvSpPr txBox="1">
          <a:spLocks noChangeArrowheads="1"/>
        </xdr:cNvSpPr>
      </xdr:nvSpPr>
      <xdr:spPr bwMode="auto">
        <a:xfrm>
          <a:off x="303501" y="8214149"/>
          <a:ext cx="308033" cy="16825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1000" b="1" i="0" strike="noStrike">
              <a:solidFill>
                <a:srgbClr val="7030A0"/>
              </a:solidFill>
              <a:latin typeface="Microsoft Sans Serif"/>
              <a:cs typeface="Microsoft Sans Serif"/>
            </a:rPr>
            <a:t>Note</a:t>
          </a:r>
        </a:p>
      </xdr:txBody>
    </xdr:sp>
    <xdr:clientData/>
  </xdr:oneCellAnchor>
  <xdr:twoCellAnchor editAs="oneCell">
    <xdr:from>
      <xdr:col>22</xdr:col>
      <xdr:colOff>137324</xdr:colOff>
      <xdr:row>39</xdr:row>
      <xdr:rowOff>134197</xdr:rowOff>
    </xdr:from>
    <xdr:to>
      <xdr:col>48</xdr:col>
      <xdr:colOff>42861</xdr:colOff>
      <xdr:row>42</xdr:row>
      <xdr:rowOff>68579</xdr:rowOff>
    </xdr:to>
    <xdr:sp macro="" textlink="">
      <xdr:nvSpPr>
        <xdr:cNvPr id="9" name="AutoShape 19">
          <a:extLst>
            <a:ext uri="{FF2B5EF4-FFF2-40B4-BE49-F238E27FC236}">
              <a16:creationId xmlns:a16="http://schemas.microsoft.com/office/drawing/2014/main" id="{7F17843F-DACE-4E7B-B819-93EAF842251C}"/>
            </a:ext>
          </a:extLst>
        </xdr:cNvPr>
        <xdr:cNvSpPr>
          <a:spLocks noChangeArrowheads="1"/>
        </xdr:cNvSpPr>
      </xdr:nvSpPr>
      <xdr:spPr bwMode="auto">
        <a:xfrm>
          <a:off x="2971012" y="8730510"/>
          <a:ext cx="3696487" cy="420157"/>
        </a:xfrm>
        <a:prstGeom prst="roundRect">
          <a:avLst>
            <a:gd name="adj" fmla="val 12727"/>
          </a:avLst>
        </a:prstGeom>
        <a:noFill/>
        <a:ln w="12700">
          <a:solidFill>
            <a:srgbClr val="800080"/>
          </a:solidFill>
          <a:round/>
          <a:headEnd/>
          <a:tailEnd/>
        </a:ln>
      </xdr:spPr>
    </xdr:sp>
    <xdr:clientData/>
  </xdr:twoCellAnchor>
  <xdr:oneCellAnchor>
    <xdr:from>
      <xdr:col>23</xdr:col>
      <xdr:colOff>132402</xdr:colOff>
      <xdr:row>39</xdr:row>
      <xdr:rowOff>59266</xdr:rowOff>
    </xdr:from>
    <xdr:ext cx="664413" cy="124714"/>
    <xdr:sp macro="" textlink="">
      <xdr:nvSpPr>
        <xdr:cNvPr id="10" name="Text Box 20">
          <a:extLst>
            <a:ext uri="{FF2B5EF4-FFF2-40B4-BE49-F238E27FC236}">
              <a16:creationId xmlns:a16="http://schemas.microsoft.com/office/drawing/2014/main" id="{034C155E-ED9A-4D45-A9F2-F4A0D435ECCD}"/>
            </a:ext>
          </a:extLst>
        </xdr:cNvPr>
        <xdr:cNvSpPr txBox="1">
          <a:spLocks noChangeArrowheads="1"/>
        </xdr:cNvSpPr>
      </xdr:nvSpPr>
      <xdr:spPr bwMode="auto">
        <a:xfrm>
          <a:off x="3477582" y="8662246"/>
          <a:ext cx="664413" cy="12471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700" b="0" i="1" strike="noStrike">
              <a:solidFill>
                <a:srgbClr val="660066"/>
              </a:solidFill>
              <a:latin typeface="Microsoft Sans Serif"/>
              <a:cs typeface="Microsoft Sans Serif"/>
            </a:rPr>
            <a:t>Office Use Only</a:t>
          </a:r>
        </a:p>
      </xdr:txBody>
    </xdr:sp>
    <xdr:clientData/>
  </xdr:oneCellAnchor>
  <xdr:twoCellAnchor editAs="oneCell">
    <xdr:from>
      <xdr:col>1</xdr:col>
      <xdr:colOff>132080</xdr:colOff>
      <xdr:row>42</xdr:row>
      <xdr:rowOff>133984</xdr:rowOff>
    </xdr:from>
    <xdr:to>
      <xdr:col>44</xdr:col>
      <xdr:colOff>42996</xdr:colOff>
      <xdr:row>44</xdr:row>
      <xdr:rowOff>25400</xdr:rowOff>
    </xdr:to>
    <xdr:sp macro="" textlink="">
      <xdr:nvSpPr>
        <xdr:cNvPr id="11" name="AutoShape 21">
          <a:extLst>
            <a:ext uri="{FF2B5EF4-FFF2-40B4-BE49-F238E27FC236}">
              <a16:creationId xmlns:a16="http://schemas.microsoft.com/office/drawing/2014/main" id="{F92C1789-1A96-4F18-B91C-2632C0BE7152}"/>
            </a:ext>
          </a:extLst>
        </xdr:cNvPr>
        <xdr:cNvSpPr>
          <a:spLocks noChangeArrowheads="1"/>
        </xdr:cNvSpPr>
      </xdr:nvSpPr>
      <xdr:spPr bwMode="auto">
        <a:xfrm>
          <a:off x="170180" y="9217024"/>
          <a:ext cx="6753676" cy="211456"/>
        </a:xfrm>
        <a:prstGeom prst="roundRect">
          <a:avLst>
            <a:gd name="adj" fmla="val 12727"/>
          </a:avLst>
        </a:prstGeom>
        <a:noFill/>
        <a:ln w="12700">
          <a:solidFill>
            <a:srgbClr val="660066"/>
          </a:solidFill>
          <a:round/>
          <a:headEnd/>
          <a:tailEnd/>
        </a:ln>
      </xdr:spPr>
    </xdr:sp>
    <xdr:clientData/>
  </xdr:twoCellAnchor>
  <xdr:twoCellAnchor>
    <xdr:from>
      <xdr:col>8</xdr:col>
      <xdr:colOff>33340</xdr:colOff>
      <xdr:row>39</xdr:row>
      <xdr:rowOff>114298</xdr:rowOff>
    </xdr:from>
    <xdr:to>
      <xdr:col>9</xdr:col>
      <xdr:colOff>28578</xdr:colOff>
      <xdr:row>41</xdr:row>
      <xdr:rowOff>23809</xdr:rowOff>
    </xdr:to>
    <xdr:sp macro="" textlink="">
      <xdr:nvSpPr>
        <xdr:cNvPr id="12" name="กล่องข้อความ 11">
          <a:extLst>
            <a:ext uri="{FF2B5EF4-FFF2-40B4-BE49-F238E27FC236}">
              <a16:creationId xmlns:a16="http://schemas.microsoft.com/office/drawing/2014/main" id="{A6B93407-8832-4AC3-A2AB-F6EA4CC52BBE}"/>
            </a:ext>
          </a:extLst>
        </xdr:cNvPr>
        <xdr:cNvSpPr txBox="1"/>
      </xdr:nvSpPr>
      <xdr:spPr>
        <a:xfrm>
          <a:off x="1145860" y="8717278"/>
          <a:ext cx="185738" cy="229551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>
              <a:latin typeface="Yu Gothic Light" panose="020B0300000000000000" pitchFamily="34" charset="-128"/>
              <a:ea typeface="Yu Gothic Light" panose="020B0300000000000000" pitchFamily="34" charset="-128"/>
            </a:rPr>
            <a:t>√</a:t>
          </a:r>
          <a:endParaRPr lang="th-TH" sz="1100" b="1"/>
        </a:p>
      </xdr:txBody>
    </xdr:sp>
    <xdr:clientData/>
  </xdr:twoCellAnchor>
  <xdr:twoCellAnchor>
    <xdr:from>
      <xdr:col>3</xdr:col>
      <xdr:colOff>38103</xdr:colOff>
      <xdr:row>40</xdr:row>
      <xdr:rowOff>104774</xdr:rowOff>
    </xdr:from>
    <xdr:to>
      <xdr:col>4</xdr:col>
      <xdr:colOff>33341</xdr:colOff>
      <xdr:row>42</xdr:row>
      <xdr:rowOff>14285</xdr:rowOff>
    </xdr:to>
    <xdr:sp macro="" textlink="">
      <xdr:nvSpPr>
        <xdr:cNvPr id="13" name="กล่องข้อความ 12">
          <a:extLst>
            <a:ext uri="{FF2B5EF4-FFF2-40B4-BE49-F238E27FC236}">
              <a16:creationId xmlns:a16="http://schemas.microsoft.com/office/drawing/2014/main" id="{2CEFF8EB-6ACD-463B-B618-1ACBC906409D}"/>
            </a:ext>
          </a:extLst>
        </xdr:cNvPr>
        <xdr:cNvSpPr txBox="1"/>
      </xdr:nvSpPr>
      <xdr:spPr>
        <a:xfrm>
          <a:off x="365763" y="8867774"/>
          <a:ext cx="185738" cy="229551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>
              <a:latin typeface="Yu Gothic Light" panose="020B0300000000000000" pitchFamily="34" charset="-128"/>
              <a:ea typeface="Yu Gothic Light" panose="020B0300000000000000" pitchFamily="34" charset="-128"/>
            </a:rPr>
            <a:t>√ </a:t>
          </a:r>
          <a:endParaRPr lang="th-TH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424C-131C-474E-9D88-6E9F191D43B4}">
  <sheetPr>
    <tabColor theme="9" tint="-0.249977111117893"/>
  </sheetPr>
  <dimension ref="B1:BB48"/>
  <sheetViews>
    <sheetView showGridLines="0" showZeros="0" tabSelected="1" view="pageBreakPreview" zoomScaleNormal="110" zoomScaleSheetLayoutView="160" workbookViewId="0">
      <selection activeCell="BU8" sqref="BU8"/>
    </sheetView>
  </sheetViews>
  <sheetFormatPr baseColWidth="10" defaultColWidth="1.83203125" defaultRowHeight="21"/>
  <cols>
    <col min="1" max="1" width="0.5" style="1" customWidth="1"/>
    <col min="2" max="3" width="1.83203125" style="1"/>
    <col min="4" max="4" width="2.5" style="1" bestFit="1" customWidth="1"/>
    <col min="5" max="5" width="2.1640625" style="1" bestFit="1" customWidth="1"/>
    <col min="6" max="8" width="1.83203125" style="1"/>
    <col min="9" max="9" width="2.5" style="1" bestFit="1" customWidth="1"/>
    <col min="10" max="10" width="2.1640625" style="1" bestFit="1" customWidth="1"/>
    <col min="11" max="22" width="1.83203125" style="1"/>
    <col min="23" max="23" width="2.5" style="1" customWidth="1"/>
    <col min="24" max="24" width="1.83203125" style="1"/>
    <col min="25" max="25" width="3.33203125" style="1" customWidth="1"/>
    <col min="26" max="27" width="1.83203125" style="1"/>
    <col min="28" max="28" width="6.5" style="1" customWidth="1"/>
    <col min="29" max="31" width="1.83203125" style="1"/>
    <col min="32" max="32" width="2.5" style="1" customWidth="1"/>
    <col min="33" max="33" width="1" style="1" customWidth="1"/>
    <col min="34" max="35" width="1.83203125" style="1"/>
    <col min="36" max="36" width="2.33203125" style="1" customWidth="1"/>
    <col min="37" max="39" width="1.83203125" style="1"/>
    <col min="40" max="41" width="2.5" style="1" customWidth="1"/>
    <col min="42" max="42" width="1.83203125" style="1"/>
    <col min="43" max="43" width="1.83203125" style="1" hidden="1" customWidth="1"/>
    <col min="44" max="48" width="1.83203125" style="1"/>
    <col min="49" max="49" width="2.5" style="1" customWidth="1"/>
    <col min="50" max="51" width="0.5" style="1" customWidth="1"/>
    <col min="52" max="16384" width="1.83203125" style="1"/>
  </cols>
  <sheetData>
    <row r="1" spans="2:49" ht="27.75" customHeight="1">
      <c r="N1" s="41" t="s">
        <v>37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</row>
    <row r="2" spans="2:49" ht="24" customHeight="1">
      <c r="N2" s="3" t="s">
        <v>2</v>
      </c>
      <c r="AN2" s="91"/>
      <c r="AO2" s="91"/>
      <c r="AP2" s="91"/>
      <c r="AQ2" s="91"/>
      <c r="AR2" s="91"/>
      <c r="AS2" s="91"/>
      <c r="AT2" s="91"/>
      <c r="AU2" s="91"/>
      <c r="AV2" s="91"/>
    </row>
    <row r="3" spans="2:49" ht="21" customHeight="1">
      <c r="N3" s="94" t="s">
        <v>0</v>
      </c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1"/>
      <c r="AO3" s="91"/>
      <c r="AP3" s="91"/>
      <c r="AQ3" s="91"/>
      <c r="AR3" s="91"/>
      <c r="AS3" s="91"/>
      <c r="AT3" s="91"/>
      <c r="AU3" s="91"/>
      <c r="AV3" s="91"/>
    </row>
    <row r="4" spans="2:49" ht="19.5" customHeight="1">
      <c r="N4" s="94" t="s">
        <v>1</v>
      </c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5" t="s">
        <v>34</v>
      </c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</row>
    <row r="5" spans="2:49" s="4" customFormat="1" ht="23.25" customHeight="1">
      <c r="B5" s="96" t="s">
        <v>18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</row>
    <row r="6" spans="2:49" s="4" customFormat="1" ht="23.5" customHeight="1">
      <c r="B6" s="89" t="s">
        <v>35</v>
      </c>
      <c r="C6" s="89"/>
      <c r="D6" s="89"/>
      <c r="E6" s="89"/>
      <c r="F6" s="89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6"/>
      <c r="AH6" s="25" t="s">
        <v>4</v>
      </c>
      <c r="AI6" s="23"/>
      <c r="AJ6" s="23"/>
      <c r="AK6" s="23"/>
      <c r="AL6" s="23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</row>
    <row r="7" spans="2:49" s="4" customFormat="1" ht="21" customHeight="1">
      <c r="B7" s="89" t="s">
        <v>36</v>
      </c>
      <c r="C7" s="89"/>
      <c r="D7" s="89"/>
      <c r="E7" s="89"/>
      <c r="F7" s="89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6"/>
      <c r="AH7" s="26" t="s">
        <v>5</v>
      </c>
      <c r="AI7" s="24"/>
      <c r="AJ7" s="24"/>
      <c r="AK7" s="24"/>
      <c r="AL7" s="24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</row>
    <row r="8" spans="2:49" s="4" customFormat="1" ht="21" customHeight="1">
      <c r="B8" s="48"/>
      <c r="C8" s="48"/>
      <c r="D8" s="48"/>
      <c r="E8" s="48"/>
      <c r="F8" s="48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6"/>
      <c r="AH8" s="28" t="s">
        <v>30</v>
      </c>
      <c r="AI8" s="27"/>
      <c r="AJ8" s="27"/>
      <c r="AK8" s="27"/>
      <c r="AL8" s="27"/>
      <c r="AM8" s="27"/>
      <c r="AN8" s="86"/>
      <c r="AO8" s="86"/>
      <c r="AP8" s="86"/>
      <c r="AQ8" s="86"/>
      <c r="AR8" s="86"/>
      <c r="AS8" s="86"/>
      <c r="AT8" s="86"/>
      <c r="AU8" s="86"/>
      <c r="AV8" s="86"/>
      <c r="AW8" s="86"/>
    </row>
    <row r="9" spans="2:49" s="4" customFormat="1" ht="21" customHeight="1">
      <c r="B9" s="87" t="s">
        <v>3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6"/>
      <c r="AH9" s="89" t="s">
        <v>31</v>
      </c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</row>
    <row r="10" spans="2:49" s="4" customFormat="1" ht="13.25" customHeight="1">
      <c r="B10" s="92" t="s">
        <v>32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</row>
    <row r="11" spans="2:49" s="4" customFormat="1" ht="13.25" customHeight="1" thickBot="1"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</row>
    <row r="12" spans="2:49" s="5" customFormat="1" ht="21" customHeight="1" thickTop="1">
      <c r="B12" s="83" t="s">
        <v>6</v>
      </c>
      <c r="C12" s="84"/>
      <c r="D12" s="84"/>
      <c r="E12" s="85"/>
      <c r="F12" s="83" t="s">
        <v>7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5"/>
      <c r="AG12" s="83" t="s">
        <v>9</v>
      </c>
      <c r="AH12" s="84"/>
      <c r="AI12" s="84"/>
      <c r="AJ12" s="84"/>
      <c r="AK12" s="85"/>
      <c r="AL12" s="83" t="s">
        <v>8</v>
      </c>
      <c r="AM12" s="84"/>
      <c r="AN12" s="84"/>
      <c r="AO12" s="84"/>
      <c r="AP12" s="84"/>
      <c r="AQ12" s="85"/>
      <c r="AR12" s="83" t="s">
        <v>8</v>
      </c>
      <c r="AS12" s="84"/>
      <c r="AT12" s="84"/>
      <c r="AU12" s="84"/>
      <c r="AV12" s="84"/>
      <c r="AW12" s="85"/>
    </row>
    <row r="13" spans="2:49" s="4" customFormat="1" ht="17" customHeight="1" thickBot="1">
      <c r="B13" s="80" t="s">
        <v>10</v>
      </c>
      <c r="C13" s="81"/>
      <c r="D13" s="81"/>
      <c r="E13" s="82"/>
      <c r="F13" s="80" t="s">
        <v>11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2"/>
      <c r="AG13" s="80" t="s">
        <v>12</v>
      </c>
      <c r="AH13" s="81"/>
      <c r="AI13" s="81"/>
      <c r="AJ13" s="81"/>
      <c r="AK13" s="82"/>
      <c r="AL13" s="80" t="s">
        <v>13</v>
      </c>
      <c r="AM13" s="81"/>
      <c r="AN13" s="81"/>
      <c r="AO13" s="81"/>
      <c r="AP13" s="81"/>
      <c r="AQ13" s="82"/>
      <c r="AR13" s="80" t="s">
        <v>14</v>
      </c>
      <c r="AS13" s="81"/>
      <c r="AT13" s="81"/>
      <c r="AU13" s="81"/>
      <c r="AV13" s="81"/>
      <c r="AW13" s="82"/>
    </row>
    <row r="14" spans="2:49" s="4" customFormat="1" ht="20.5" customHeight="1" thickTop="1">
      <c r="B14" s="66"/>
      <c r="C14" s="67"/>
      <c r="D14" s="67"/>
      <c r="E14" s="68"/>
      <c r="F14" s="69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4"/>
      <c r="AH14" s="75"/>
      <c r="AI14" s="75"/>
      <c r="AJ14" s="75"/>
      <c r="AK14" s="76"/>
      <c r="AL14" s="62"/>
      <c r="AM14" s="62"/>
      <c r="AN14" s="62"/>
      <c r="AO14" s="62"/>
      <c r="AP14" s="62"/>
      <c r="AQ14" s="63"/>
      <c r="AR14" s="64"/>
      <c r="AS14" s="49"/>
      <c r="AT14" s="49"/>
      <c r="AU14" s="49"/>
      <c r="AV14" s="49"/>
      <c r="AW14" s="65"/>
    </row>
    <row r="15" spans="2:49" s="4" customFormat="1" ht="15" customHeight="1">
      <c r="B15" s="66"/>
      <c r="C15" s="67"/>
      <c r="D15" s="67"/>
      <c r="E15" s="68"/>
      <c r="F15" s="69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4"/>
      <c r="AH15" s="75"/>
      <c r="AI15" s="75"/>
      <c r="AJ15" s="75"/>
      <c r="AK15" s="76"/>
      <c r="AL15" s="62"/>
      <c r="AM15" s="62"/>
      <c r="AN15" s="62"/>
      <c r="AO15" s="62"/>
      <c r="AP15" s="62"/>
      <c r="AQ15" s="63"/>
      <c r="AR15" s="64"/>
      <c r="AS15" s="49"/>
      <c r="AT15" s="49"/>
      <c r="AU15" s="49"/>
      <c r="AV15" s="49"/>
      <c r="AW15" s="65"/>
    </row>
    <row r="16" spans="2:49" s="4" customFormat="1" ht="15" customHeight="1">
      <c r="B16" s="66"/>
      <c r="C16" s="67"/>
      <c r="D16" s="67"/>
      <c r="E16" s="68"/>
      <c r="F16" s="78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4"/>
      <c r="AH16" s="75"/>
      <c r="AI16" s="75"/>
      <c r="AJ16" s="75"/>
      <c r="AK16" s="76"/>
      <c r="AL16" s="62"/>
      <c r="AM16" s="62"/>
      <c r="AN16" s="62"/>
      <c r="AO16" s="62"/>
      <c r="AP16" s="62"/>
      <c r="AQ16" s="63"/>
      <c r="AR16" s="64">
        <f t="shared" ref="AR16:AR18" si="0">AL16*AG16</f>
        <v>0</v>
      </c>
      <c r="AS16" s="49"/>
      <c r="AT16" s="49"/>
      <c r="AU16" s="49"/>
      <c r="AV16" s="49"/>
      <c r="AW16" s="65"/>
    </row>
    <row r="17" spans="2:49" s="4" customFormat="1" ht="15" customHeight="1">
      <c r="B17" s="66"/>
      <c r="C17" s="67"/>
      <c r="D17" s="67"/>
      <c r="E17" s="68"/>
      <c r="F17" s="69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4"/>
      <c r="AH17" s="75"/>
      <c r="AI17" s="75"/>
      <c r="AJ17" s="75"/>
      <c r="AK17" s="76"/>
      <c r="AL17" s="62"/>
      <c r="AM17" s="62"/>
      <c r="AN17" s="62"/>
      <c r="AO17" s="62"/>
      <c r="AP17" s="62"/>
      <c r="AQ17" s="63"/>
      <c r="AR17" s="64">
        <f t="shared" si="0"/>
        <v>0</v>
      </c>
      <c r="AS17" s="49"/>
      <c r="AT17" s="49"/>
      <c r="AU17" s="49"/>
      <c r="AV17" s="49"/>
      <c r="AW17" s="65"/>
    </row>
    <row r="18" spans="2:49" s="4" customFormat="1" ht="15" customHeight="1">
      <c r="B18" s="66"/>
      <c r="C18" s="67"/>
      <c r="D18" s="67"/>
      <c r="E18" s="68"/>
      <c r="F18" s="69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4"/>
      <c r="AH18" s="75"/>
      <c r="AI18" s="75"/>
      <c r="AJ18" s="75"/>
      <c r="AK18" s="76"/>
      <c r="AL18" s="62"/>
      <c r="AM18" s="62"/>
      <c r="AN18" s="62"/>
      <c r="AO18" s="62"/>
      <c r="AP18" s="62"/>
      <c r="AQ18" s="63"/>
      <c r="AR18" s="64">
        <f t="shared" si="0"/>
        <v>0</v>
      </c>
      <c r="AS18" s="49"/>
      <c r="AT18" s="49"/>
      <c r="AU18" s="49"/>
      <c r="AV18" s="49"/>
      <c r="AW18" s="65"/>
    </row>
    <row r="19" spans="2:49" s="4" customFormat="1" ht="15" customHeight="1">
      <c r="B19" s="66"/>
      <c r="C19" s="67"/>
      <c r="D19" s="67"/>
      <c r="E19" s="68"/>
      <c r="F19" s="69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4"/>
      <c r="AH19" s="75"/>
      <c r="AI19" s="75"/>
      <c r="AJ19" s="75"/>
      <c r="AK19" s="76"/>
      <c r="AL19" s="62"/>
      <c r="AM19" s="62"/>
      <c r="AN19" s="62"/>
      <c r="AO19" s="62"/>
      <c r="AP19" s="62"/>
      <c r="AQ19" s="63"/>
      <c r="AR19" s="64">
        <f>AL19*AG19</f>
        <v>0</v>
      </c>
      <c r="AS19" s="49"/>
      <c r="AT19" s="49"/>
      <c r="AU19" s="49"/>
      <c r="AV19" s="49"/>
      <c r="AW19" s="65"/>
    </row>
    <row r="20" spans="2:49" s="4" customFormat="1" ht="15" customHeight="1">
      <c r="B20" s="66"/>
      <c r="C20" s="67"/>
      <c r="D20" s="67"/>
      <c r="E20" s="68"/>
      <c r="F20" s="69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4"/>
      <c r="AH20" s="75"/>
      <c r="AI20" s="75"/>
      <c r="AJ20" s="75"/>
      <c r="AK20" s="76"/>
      <c r="AL20" s="77"/>
      <c r="AM20" s="62"/>
      <c r="AN20" s="62"/>
      <c r="AO20" s="62"/>
      <c r="AP20" s="62"/>
      <c r="AQ20" s="63"/>
      <c r="AR20" s="64">
        <f>AL20*AG20</f>
        <v>0</v>
      </c>
      <c r="AS20" s="49"/>
      <c r="AT20" s="49"/>
      <c r="AU20" s="49"/>
      <c r="AV20" s="49"/>
      <c r="AW20" s="65"/>
    </row>
    <row r="21" spans="2:49" s="4" customFormat="1" ht="15" customHeight="1">
      <c r="B21" s="66"/>
      <c r="C21" s="67"/>
      <c r="D21" s="67"/>
      <c r="E21" s="68"/>
      <c r="F21" s="69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4"/>
      <c r="AH21" s="75"/>
      <c r="AI21" s="75"/>
      <c r="AJ21" s="75"/>
      <c r="AK21" s="76"/>
      <c r="AL21" s="62"/>
      <c r="AM21" s="62"/>
      <c r="AN21" s="62"/>
      <c r="AO21" s="62"/>
      <c r="AP21" s="62"/>
      <c r="AQ21" s="63"/>
      <c r="AR21" s="64">
        <f t="shared" ref="AR21:AR35" si="1">AL21*AG21</f>
        <v>0</v>
      </c>
      <c r="AS21" s="49"/>
      <c r="AT21" s="49"/>
      <c r="AU21" s="49"/>
      <c r="AV21" s="49"/>
      <c r="AW21" s="65"/>
    </row>
    <row r="22" spans="2:49" s="4" customFormat="1" ht="15" customHeight="1">
      <c r="B22" s="66"/>
      <c r="C22" s="67"/>
      <c r="D22" s="67"/>
      <c r="E22" s="68"/>
      <c r="F22" s="69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4"/>
      <c r="AH22" s="75"/>
      <c r="AI22" s="75"/>
      <c r="AJ22" s="75"/>
      <c r="AK22" s="76"/>
      <c r="AL22" s="62"/>
      <c r="AM22" s="62"/>
      <c r="AN22" s="62"/>
      <c r="AO22" s="62"/>
      <c r="AP22" s="62"/>
      <c r="AQ22" s="63"/>
      <c r="AR22" s="64">
        <f t="shared" si="1"/>
        <v>0</v>
      </c>
      <c r="AS22" s="49"/>
      <c r="AT22" s="49"/>
      <c r="AU22" s="49"/>
      <c r="AV22" s="49"/>
      <c r="AW22" s="65"/>
    </row>
    <row r="23" spans="2:49" s="4" customFormat="1" ht="15" customHeight="1">
      <c r="B23" s="66"/>
      <c r="C23" s="67"/>
      <c r="D23" s="67"/>
      <c r="E23" s="68"/>
      <c r="F23" s="69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4"/>
      <c r="AH23" s="75"/>
      <c r="AI23" s="75"/>
      <c r="AJ23" s="75"/>
      <c r="AK23" s="76"/>
      <c r="AL23" s="62"/>
      <c r="AM23" s="62"/>
      <c r="AN23" s="62"/>
      <c r="AO23" s="62"/>
      <c r="AP23" s="62"/>
      <c r="AQ23" s="63"/>
      <c r="AR23" s="64">
        <f t="shared" si="1"/>
        <v>0</v>
      </c>
      <c r="AS23" s="49"/>
      <c r="AT23" s="49"/>
      <c r="AU23" s="49"/>
      <c r="AV23" s="49"/>
      <c r="AW23" s="65"/>
    </row>
    <row r="24" spans="2:49" s="4" customFormat="1" ht="15" customHeight="1">
      <c r="B24" s="66"/>
      <c r="C24" s="67"/>
      <c r="D24" s="67"/>
      <c r="E24" s="68"/>
      <c r="F24" s="69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4"/>
      <c r="AH24" s="75"/>
      <c r="AI24" s="75"/>
      <c r="AJ24" s="75"/>
      <c r="AK24" s="76"/>
      <c r="AL24" s="62"/>
      <c r="AM24" s="62"/>
      <c r="AN24" s="62"/>
      <c r="AO24" s="62"/>
      <c r="AP24" s="62"/>
      <c r="AQ24" s="63"/>
      <c r="AR24" s="64">
        <f t="shared" si="1"/>
        <v>0</v>
      </c>
      <c r="AS24" s="49"/>
      <c r="AT24" s="49"/>
      <c r="AU24" s="49"/>
      <c r="AV24" s="49"/>
      <c r="AW24" s="65"/>
    </row>
    <row r="25" spans="2:49" s="4" customFormat="1" ht="15" customHeight="1">
      <c r="B25" s="66"/>
      <c r="C25" s="67"/>
      <c r="D25" s="67"/>
      <c r="E25" s="68"/>
      <c r="F25" s="37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2"/>
      <c r="AH25" s="16"/>
      <c r="AI25" s="16"/>
      <c r="AJ25" s="16"/>
      <c r="AK25" s="40"/>
      <c r="AL25" s="38"/>
      <c r="AM25" s="38"/>
      <c r="AN25" s="38"/>
      <c r="AO25" s="38"/>
      <c r="AP25" s="38"/>
      <c r="AQ25" s="39"/>
      <c r="AR25" s="33"/>
      <c r="AS25" s="34"/>
      <c r="AT25" s="34"/>
      <c r="AU25" s="34"/>
      <c r="AV25" s="34"/>
      <c r="AW25" s="35"/>
    </row>
    <row r="26" spans="2:49" s="4" customFormat="1" ht="15" customHeight="1">
      <c r="B26" s="66"/>
      <c r="C26" s="67"/>
      <c r="D26" s="67"/>
      <c r="E26" s="68"/>
      <c r="F26" s="69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4"/>
      <c r="AH26" s="75"/>
      <c r="AI26" s="75"/>
      <c r="AJ26" s="75"/>
      <c r="AK26" s="76"/>
      <c r="AL26" s="62"/>
      <c r="AM26" s="62"/>
      <c r="AN26" s="62"/>
      <c r="AO26" s="62"/>
      <c r="AP26" s="62"/>
      <c r="AQ26" s="63"/>
      <c r="AR26" s="64">
        <f t="shared" si="1"/>
        <v>0</v>
      </c>
      <c r="AS26" s="49"/>
      <c r="AT26" s="49"/>
      <c r="AU26" s="49"/>
      <c r="AV26" s="49"/>
      <c r="AW26" s="65"/>
    </row>
    <row r="27" spans="2:49" s="4" customFormat="1" ht="15" customHeight="1">
      <c r="B27" s="66"/>
      <c r="C27" s="67"/>
      <c r="D27" s="67"/>
      <c r="E27" s="68"/>
      <c r="F27" s="69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4"/>
      <c r="AH27" s="75"/>
      <c r="AI27" s="75"/>
      <c r="AJ27" s="75"/>
      <c r="AK27" s="76"/>
      <c r="AL27" s="62"/>
      <c r="AM27" s="62"/>
      <c r="AN27" s="62"/>
      <c r="AO27" s="62"/>
      <c r="AP27" s="62"/>
      <c r="AQ27" s="63"/>
      <c r="AR27" s="64">
        <f t="shared" si="1"/>
        <v>0</v>
      </c>
      <c r="AS27" s="49"/>
      <c r="AT27" s="49"/>
      <c r="AU27" s="49"/>
      <c r="AV27" s="49"/>
      <c r="AW27" s="65"/>
    </row>
    <row r="28" spans="2:49" s="4" customFormat="1" ht="15" customHeight="1">
      <c r="B28" s="66"/>
      <c r="C28" s="67"/>
      <c r="D28" s="67"/>
      <c r="E28" s="68"/>
      <c r="F28" s="69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4"/>
      <c r="AH28" s="75"/>
      <c r="AI28" s="75"/>
      <c r="AJ28" s="75"/>
      <c r="AK28" s="76"/>
      <c r="AL28" s="62"/>
      <c r="AM28" s="62"/>
      <c r="AN28" s="62"/>
      <c r="AO28" s="62"/>
      <c r="AP28" s="62"/>
      <c r="AQ28" s="63"/>
      <c r="AR28" s="64">
        <f t="shared" si="1"/>
        <v>0</v>
      </c>
      <c r="AS28" s="49"/>
      <c r="AT28" s="49"/>
      <c r="AU28" s="49"/>
      <c r="AV28" s="49"/>
      <c r="AW28" s="65"/>
    </row>
    <row r="29" spans="2:49" s="4" customFormat="1" ht="15" customHeight="1">
      <c r="B29" s="66"/>
      <c r="C29" s="67"/>
      <c r="D29" s="67"/>
      <c r="E29" s="68"/>
      <c r="F29" s="69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4"/>
      <c r="AH29" s="75"/>
      <c r="AI29" s="75"/>
      <c r="AJ29" s="75"/>
      <c r="AK29" s="76"/>
      <c r="AL29" s="62"/>
      <c r="AM29" s="62"/>
      <c r="AN29" s="62"/>
      <c r="AO29" s="62"/>
      <c r="AP29" s="62"/>
      <c r="AQ29" s="63"/>
      <c r="AR29" s="64">
        <f t="shared" si="1"/>
        <v>0</v>
      </c>
      <c r="AS29" s="49"/>
      <c r="AT29" s="49"/>
      <c r="AU29" s="49"/>
      <c r="AV29" s="49"/>
      <c r="AW29" s="65"/>
    </row>
    <row r="30" spans="2:49" s="4" customFormat="1" ht="15" customHeight="1">
      <c r="B30" s="66"/>
      <c r="C30" s="67"/>
      <c r="D30" s="67"/>
      <c r="E30" s="68"/>
      <c r="F30" s="69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4"/>
      <c r="AH30" s="75"/>
      <c r="AI30" s="75"/>
      <c r="AJ30" s="75"/>
      <c r="AK30" s="76"/>
      <c r="AL30" s="62"/>
      <c r="AM30" s="62"/>
      <c r="AN30" s="62"/>
      <c r="AO30" s="62"/>
      <c r="AP30" s="62"/>
      <c r="AQ30" s="63"/>
      <c r="AR30" s="64">
        <f t="shared" si="1"/>
        <v>0</v>
      </c>
      <c r="AS30" s="49"/>
      <c r="AT30" s="49"/>
      <c r="AU30" s="49"/>
      <c r="AV30" s="49"/>
      <c r="AW30" s="65"/>
    </row>
    <row r="31" spans="2:49" s="4" customFormat="1" ht="15" customHeight="1">
      <c r="B31" s="66"/>
      <c r="C31" s="67"/>
      <c r="D31" s="67"/>
      <c r="E31" s="68"/>
      <c r="F31" s="69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4"/>
      <c r="AH31" s="75"/>
      <c r="AI31" s="75"/>
      <c r="AJ31" s="75"/>
      <c r="AK31" s="76"/>
      <c r="AL31" s="62"/>
      <c r="AM31" s="62"/>
      <c r="AN31" s="62"/>
      <c r="AO31" s="62"/>
      <c r="AP31" s="62"/>
      <c r="AQ31" s="63"/>
      <c r="AR31" s="64">
        <f t="shared" si="1"/>
        <v>0</v>
      </c>
      <c r="AS31" s="49"/>
      <c r="AT31" s="49"/>
      <c r="AU31" s="49"/>
      <c r="AV31" s="49"/>
      <c r="AW31" s="65"/>
    </row>
    <row r="32" spans="2:49" s="4" customFormat="1" ht="15" customHeight="1">
      <c r="B32" s="66"/>
      <c r="C32" s="67"/>
      <c r="D32" s="67"/>
      <c r="E32" s="68"/>
      <c r="F32" s="37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2"/>
      <c r="AH32" s="16"/>
      <c r="AI32" s="16"/>
      <c r="AJ32" s="16"/>
      <c r="AK32" s="40"/>
      <c r="AL32" s="38"/>
      <c r="AM32" s="38"/>
      <c r="AN32" s="38"/>
      <c r="AO32" s="38"/>
      <c r="AP32" s="38"/>
      <c r="AQ32" s="39"/>
      <c r="AR32" s="33"/>
      <c r="AS32" s="34"/>
      <c r="AT32" s="34"/>
      <c r="AU32" s="34"/>
      <c r="AV32" s="34"/>
      <c r="AW32" s="35"/>
    </row>
    <row r="33" spans="2:54" s="4" customFormat="1" ht="15" customHeight="1">
      <c r="B33" s="66"/>
      <c r="C33" s="67"/>
      <c r="D33" s="67"/>
      <c r="E33" s="68"/>
      <c r="F33" s="37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2"/>
      <c r="AH33" s="16"/>
      <c r="AI33" s="16"/>
      <c r="AJ33" s="16"/>
      <c r="AK33" s="40"/>
      <c r="AL33" s="38"/>
      <c r="AM33" s="38"/>
      <c r="AN33" s="38"/>
      <c r="AO33" s="38"/>
      <c r="AP33" s="38"/>
      <c r="AQ33" s="39"/>
      <c r="AR33" s="33"/>
      <c r="AS33" s="34"/>
      <c r="AT33" s="34"/>
      <c r="AU33" s="34"/>
      <c r="AV33" s="34"/>
      <c r="AW33" s="35"/>
    </row>
    <row r="34" spans="2:54" s="4" customFormat="1" ht="15" customHeight="1">
      <c r="B34" s="66"/>
      <c r="C34" s="67"/>
      <c r="D34" s="67"/>
      <c r="E34" s="68"/>
      <c r="F34" s="69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4"/>
      <c r="AH34" s="75"/>
      <c r="AI34" s="75"/>
      <c r="AJ34" s="75"/>
      <c r="AK34" s="76"/>
      <c r="AL34" s="62"/>
      <c r="AM34" s="62"/>
      <c r="AN34" s="62"/>
      <c r="AO34" s="62"/>
      <c r="AP34" s="62"/>
      <c r="AQ34" s="63"/>
      <c r="AR34" s="64">
        <f t="shared" si="1"/>
        <v>0</v>
      </c>
      <c r="AS34" s="49"/>
      <c r="AT34" s="49"/>
      <c r="AU34" s="49"/>
      <c r="AV34" s="49"/>
      <c r="AW34" s="65"/>
    </row>
    <row r="35" spans="2:54" s="4" customFormat="1" ht="15" customHeight="1">
      <c r="B35" s="66"/>
      <c r="C35" s="67"/>
      <c r="D35" s="67"/>
      <c r="E35" s="68"/>
      <c r="F35" s="69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1"/>
      <c r="AH35" s="72"/>
      <c r="AI35" s="72"/>
      <c r="AJ35" s="72"/>
      <c r="AK35" s="73"/>
      <c r="AL35" s="62"/>
      <c r="AM35" s="62"/>
      <c r="AN35" s="62"/>
      <c r="AO35" s="62"/>
      <c r="AP35" s="62"/>
      <c r="AQ35" s="63"/>
      <c r="AR35" s="64">
        <f t="shared" si="1"/>
        <v>0</v>
      </c>
      <c r="AS35" s="49"/>
      <c r="AT35" s="49"/>
      <c r="AU35" s="49"/>
      <c r="AV35" s="49"/>
      <c r="AW35" s="65"/>
    </row>
    <row r="36" spans="2:54" s="4" customFormat="1" ht="20.5" customHeight="1">
      <c r="B36" s="54" t="str">
        <f>"(  -"&amp;BAHTTEXT(AR38)&amp;"-  )"</f>
        <v>(  -ศูนย์บาทถ้วน-  )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6"/>
      <c r="AG36" s="57" t="s">
        <v>15</v>
      </c>
      <c r="AH36" s="48"/>
      <c r="AI36" s="48"/>
      <c r="AJ36" s="48"/>
      <c r="AK36" s="48"/>
      <c r="AL36" s="58"/>
      <c r="AM36" s="58"/>
      <c r="AN36" s="58"/>
      <c r="AO36" s="58"/>
      <c r="AP36" s="58"/>
      <c r="AQ36" s="58"/>
      <c r="AR36" s="59">
        <f>AR38*100/107</f>
        <v>0</v>
      </c>
      <c r="AS36" s="59"/>
      <c r="AT36" s="59"/>
      <c r="AU36" s="59"/>
      <c r="AV36" s="59"/>
      <c r="AW36" s="59"/>
    </row>
    <row r="37" spans="2:54" s="4" customFormat="1" ht="20.5" customHeight="1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57" t="s">
        <v>16</v>
      </c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59">
        <f>AR38-AR36</f>
        <v>0</v>
      </c>
      <c r="AS37" s="59"/>
      <c r="AT37" s="59"/>
      <c r="AU37" s="59"/>
      <c r="AV37" s="59"/>
      <c r="AW37" s="59"/>
    </row>
    <row r="38" spans="2:54" s="4" customFormat="1" ht="18" customHeight="1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0" t="s">
        <v>17</v>
      </c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59">
        <f>SUM(AR14:AW34)</f>
        <v>0</v>
      </c>
      <c r="AS38" s="59"/>
      <c r="AT38" s="59"/>
      <c r="AU38" s="59"/>
      <c r="AV38" s="59"/>
      <c r="AW38" s="59"/>
    </row>
    <row r="39" spans="2:54" s="4" customFormat="1" ht="18" customHeight="1">
      <c r="B39" s="17"/>
      <c r="C39" s="17"/>
      <c r="D39" s="9" t="s">
        <v>19</v>
      </c>
      <c r="E39" s="17"/>
      <c r="F39" s="17"/>
      <c r="G39" s="17"/>
      <c r="H39" s="17"/>
      <c r="I39" s="9" t="s">
        <v>20</v>
      </c>
      <c r="J39" s="17"/>
      <c r="K39" s="17"/>
      <c r="L39" s="17"/>
      <c r="M39" s="17"/>
      <c r="N39" s="17"/>
      <c r="O39" s="9" t="s">
        <v>21</v>
      </c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9"/>
      <c r="AS39" s="49"/>
      <c r="AT39" s="49"/>
      <c r="AU39" s="49"/>
      <c r="AV39" s="49"/>
      <c r="AW39" s="49"/>
    </row>
    <row r="40" spans="2:54" ht="12.5" customHeight="1">
      <c r="D40" s="29" t="s">
        <v>33</v>
      </c>
      <c r="E40" s="18">
        <v>7</v>
      </c>
      <c r="F40" s="19" t="s">
        <v>22</v>
      </c>
      <c r="I40" s="29" t="s">
        <v>33</v>
      </c>
      <c r="J40" s="18">
        <v>7</v>
      </c>
      <c r="K40" s="19" t="s">
        <v>22</v>
      </c>
      <c r="O40" s="29" t="s">
        <v>33</v>
      </c>
      <c r="P40" s="7" t="s">
        <v>23</v>
      </c>
      <c r="Q40" s="7"/>
    </row>
    <row r="41" spans="2:54" ht="12.5" customHeight="1">
      <c r="B41" s="7"/>
      <c r="C41" s="7"/>
      <c r="D41" s="29" t="s">
        <v>33</v>
      </c>
      <c r="E41" s="18">
        <v>15</v>
      </c>
      <c r="F41" s="19" t="s">
        <v>22</v>
      </c>
      <c r="G41" s="7"/>
      <c r="H41" s="7"/>
      <c r="I41" s="29" t="s">
        <v>33</v>
      </c>
      <c r="J41" s="18">
        <v>15</v>
      </c>
      <c r="K41" s="19" t="s">
        <v>22</v>
      </c>
      <c r="L41" s="7"/>
      <c r="M41" s="7"/>
      <c r="N41" s="7"/>
      <c r="O41" s="29" t="s">
        <v>33</v>
      </c>
      <c r="P41" s="7" t="s">
        <v>24</v>
      </c>
      <c r="Q41" s="7"/>
      <c r="R41" s="7"/>
      <c r="S41" s="50"/>
      <c r="T41" s="50"/>
      <c r="U41" s="44" t="s">
        <v>22</v>
      </c>
      <c r="V41" s="44"/>
      <c r="W41" s="20"/>
      <c r="X41" s="2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20"/>
    </row>
    <row r="42" spans="2:54" ht="12.5" customHeight="1">
      <c r="B42" s="7"/>
      <c r="C42" s="7"/>
      <c r="D42" s="29" t="s">
        <v>33</v>
      </c>
      <c r="E42" s="18">
        <v>30</v>
      </c>
      <c r="F42" s="19" t="s">
        <v>22</v>
      </c>
      <c r="G42" s="7"/>
      <c r="H42" s="7"/>
      <c r="I42" s="29" t="s">
        <v>33</v>
      </c>
      <c r="J42" s="18">
        <v>30</v>
      </c>
      <c r="K42" s="19" t="s">
        <v>22</v>
      </c>
      <c r="L42" s="7"/>
      <c r="M42" s="7"/>
      <c r="N42" s="7"/>
      <c r="O42" s="29" t="s">
        <v>33</v>
      </c>
      <c r="P42" s="7" t="s">
        <v>25</v>
      </c>
      <c r="Q42" s="7"/>
      <c r="R42" s="7"/>
      <c r="S42" s="7"/>
      <c r="T42" s="7"/>
      <c r="U42" s="7"/>
      <c r="V42" s="7"/>
      <c r="W42" s="7"/>
      <c r="X42" s="20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20"/>
    </row>
    <row r="43" spans="2:54" ht="12.5" customHeight="1">
      <c r="B43" s="9"/>
      <c r="C43" s="9"/>
      <c r="D43" s="9"/>
      <c r="E43" s="9"/>
      <c r="F43" s="9"/>
      <c r="G43" s="9"/>
      <c r="H43" s="10"/>
      <c r="I43" s="11"/>
      <c r="J43" s="9"/>
      <c r="K43" s="9"/>
      <c r="L43" s="9"/>
      <c r="M43" s="9"/>
      <c r="N43" s="9"/>
      <c r="O43" s="11"/>
      <c r="P43" s="12"/>
      <c r="Q43" s="13"/>
      <c r="R43" s="14"/>
      <c r="S43" s="12"/>
      <c r="T43" s="7"/>
      <c r="U43" s="7"/>
      <c r="V43" s="7"/>
      <c r="W43" s="7"/>
      <c r="X43" s="7"/>
      <c r="Y43" s="7"/>
      <c r="Z43" s="7"/>
      <c r="AA43" s="13"/>
      <c r="AB43" s="13"/>
      <c r="AC43" s="11"/>
      <c r="AD43" s="13"/>
      <c r="AE43" s="13"/>
      <c r="AF43" s="13"/>
      <c r="AG43" s="51"/>
      <c r="AH43" s="51"/>
      <c r="AI43" s="51"/>
      <c r="AJ43" s="51"/>
      <c r="AK43" s="13"/>
      <c r="AL43" s="13"/>
      <c r="AM43" s="13"/>
      <c r="AN43" s="13"/>
    </row>
    <row r="44" spans="2:54" ht="12.5" customHeight="1">
      <c r="B44" s="52" t="s">
        <v>26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</row>
    <row r="45" spans="2:54" ht="12.5" customHeight="1">
      <c r="B45" s="7"/>
      <c r="C45" s="7"/>
      <c r="D45" s="15"/>
      <c r="E45" s="8"/>
      <c r="F45" s="7"/>
      <c r="G45" s="7"/>
      <c r="H45" s="7"/>
      <c r="I45" s="15"/>
      <c r="J45" s="8"/>
      <c r="K45" s="7"/>
      <c r="L45" s="7"/>
      <c r="M45" s="7"/>
      <c r="N45" s="7"/>
      <c r="O45" s="7"/>
      <c r="P45" s="43"/>
      <c r="Q45" s="43"/>
      <c r="R45" s="44"/>
      <c r="S45" s="44"/>
      <c r="T45" s="7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7"/>
      <c r="AL45" s="7"/>
      <c r="AM45" s="7"/>
      <c r="AN45" s="7"/>
    </row>
    <row r="46" spans="2:54" ht="20" customHeight="1" thickBot="1">
      <c r="B46" s="7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22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</row>
    <row r="47" spans="2:54" ht="22.25" customHeight="1" thickTop="1">
      <c r="B47" s="7"/>
      <c r="C47" s="47" t="s">
        <v>38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7"/>
      <c r="Z47" s="47" t="s">
        <v>28</v>
      </c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</row>
    <row r="48" spans="2:54">
      <c r="B48" s="7"/>
      <c r="C48" s="42" t="s">
        <v>27</v>
      </c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7"/>
      <c r="Z48" s="42" t="s">
        <v>29</v>
      </c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21"/>
      <c r="AY48" s="21"/>
      <c r="AZ48" s="21"/>
      <c r="BA48" s="21"/>
      <c r="BB48" s="21"/>
    </row>
  </sheetData>
  <mergeCells count="167">
    <mergeCell ref="AN2:AV3"/>
    <mergeCell ref="B6:F6"/>
    <mergeCell ref="G6:AF6"/>
    <mergeCell ref="AM6:AW6"/>
    <mergeCell ref="B7:F7"/>
    <mergeCell ref="AM7:AW7"/>
    <mergeCell ref="B10:AW11"/>
    <mergeCell ref="N3:AM3"/>
    <mergeCell ref="N4:AK4"/>
    <mergeCell ref="AL4:AW5"/>
    <mergeCell ref="B5:S5"/>
    <mergeCell ref="B12:E12"/>
    <mergeCell ref="F12:AF12"/>
    <mergeCell ref="AG12:AK12"/>
    <mergeCell ref="AL12:AQ12"/>
    <mergeCell ref="AR12:AW12"/>
    <mergeCell ref="B8:F8"/>
    <mergeCell ref="AN8:AW8"/>
    <mergeCell ref="B9:O9"/>
    <mergeCell ref="P9:AF9"/>
    <mergeCell ref="AH9:AW9"/>
    <mergeCell ref="G7:AF8"/>
    <mergeCell ref="B13:E13"/>
    <mergeCell ref="F13:AF13"/>
    <mergeCell ref="AG13:AK13"/>
    <mergeCell ref="AL13:AQ13"/>
    <mergeCell ref="AR13:AW13"/>
    <mergeCell ref="B14:E14"/>
    <mergeCell ref="F14:AF14"/>
    <mergeCell ref="AG14:AI14"/>
    <mergeCell ref="AJ14:AK14"/>
    <mergeCell ref="AL14:AQ14"/>
    <mergeCell ref="B16:E16"/>
    <mergeCell ref="F16:AF16"/>
    <mergeCell ref="AG16:AI16"/>
    <mergeCell ref="AJ16:AK16"/>
    <mergeCell ref="AL16:AQ16"/>
    <mergeCell ref="AR16:AW16"/>
    <mergeCell ref="AR14:AW14"/>
    <mergeCell ref="B15:E15"/>
    <mergeCell ref="F15:AF15"/>
    <mergeCell ref="AG15:AI15"/>
    <mergeCell ref="AJ15:AK15"/>
    <mergeCell ref="AL15:AQ15"/>
    <mergeCell ref="AR15:AW15"/>
    <mergeCell ref="B18:E18"/>
    <mergeCell ref="F18:AF18"/>
    <mergeCell ref="AG18:AI18"/>
    <mergeCell ref="AJ18:AK18"/>
    <mergeCell ref="AL18:AQ18"/>
    <mergeCell ref="AR18:AW18"/>
    <mergeCell ref="B17:E17"/>
    <mergeCell ref="F17:AF17"/>
    <mergeCell ref="AG17:AI17"/>
    <mergeCell ref="AJ17:AK17"/>
    <mergeCell ref="AL17:AQ17"/>
    <mergeCell ref="AR17:AW17"/>
    <mergeCell ref="B20:E20"/>
    <mergeCell ref="F20:AF20"/>
    <mergeCell ref="AG20:AI20"/>
    <mergeCell ref="AJ20:AK20"/>
    <mergeCell ref="AL20:AQ20"/>
    <mergeCell ref="AR20:AW20"/>
    <mergeCell ref="B19:E19"/>
    <mergeCell ref="F19:AF19"/>
    <mergeCell ref="AG19:AI19"/>
    <mergeCell ref="AJ19:AK19"/>
    <mergeCell ref="AL19:AQ19"/>
    <mergeCell ref="AR19:AW19"/>
    <mergeCell ref="B22:E22"/>
    <mergeCell ref="F22:AF22"/>
    <mergeCell ref="AG22:AI22"/>
    <mergeCell ref="AJ22:AK22"/>
    <mergeCell ref="AL22:AQ22"/>
    <mergeCell ref="AR22:AW22"/>
    <mergeCell ref="B21:E21"/>
    <mergeCell ref="F21:AF21"/>
    <mergeCell ref="AG21:AI21"/>
    <mergeCell ref="AJ21:AK21"/>
    <mergeCell ref="AL21:AQ21"/>
    <mergeCell ref="AR21:AW21"/>
    <mergeCell ref="B24:E24"/>
    <mergeCell ref="F24:AF24"/>
    <mergeCell ref="AG24:AI24"/>
    <mergeCell ref="AJ24:AK24"/>
    <mergeCell ref="AL24:AQ24"/>
    <mergeCell ref="AR24:AW24"/>
    <mergeCell ref="B23:E23"/>
    <mergeCell ref="F23:AF23"/>
    <mergeCell ref="AG23:AI23"/>
    <mergeCell ref="AJ23:AK23"/>
    <mergeCell ref="AL23:AQ23"/>
    <mergeCell ref="AR23:AW23"/>
    <mergeCell ref="AR26:AW26"/>
    <mergeCell ref="B27:E27"/>
    <mergeCell ref="F27:AF27"/>
    <mergeCell ref="AG27:AI27"/>
    <mergeCell ref="AJ27:AK27"/>
    <mergeCell ref="AL27:AQ27"/>
    <mergeCell ref="AR27:AW27"/>
    <mergeCell ref="B25:E25"/>
    <mergeCell ref="B26:E26"/>
    <mergeCell ref="F26:AF26"/>
    <mergeCell ref="AG26:AI26"/>
    <mergeCell ref="AJ26:AK26"/>
    <mergeCell ref="AL26:AQ26"/>
    <mergeCell ref="B29:E29"/>
    <mergeCell ref="F29:AF29"/>
    <mergeCell ref="AG29:AI29"/>
    <mergeCell ref="AJ29:AK29"/>
    <mergeCell ref="AL29:AQ29"/>
    <mergeCell ref="AR29:AW29"/>
    <mergeCell ref="B28:E28"/>
    <mergeCell ref="F28:AF28"/>
    <mergeCell ref="AG28:AI28"/>
    <mergeCell ref="AJ28:AK28"/>
    <mergeCell ref="AL28:AQ28"/>
    <mergeCell ref="AR28:AW28"/>
    <mergeCell ref="B31:E31"/>
    <mergeCell ref="F31:AF31"/>
    <mergeCell ref="AG31:AI31"/>
    <mergeCell ref="AJ31:AK31"/>
    <mergeCell ref="AL31:AQ31"/>
    <mergeCell ref="AR31:AW31"/>
    <mergeCell ref="B30:E30"/>
    <mergeCell ref="F30:AF30"/>
    <mergeCell ref="AG30:AI30"/>
    <mergeCell ref="AJ30:AK30"/>
    <mergeCell ref="AL30:AQ30"/>
    <mergeCell ref="AR30:AW30"/>
    <mergeCell ref="AR34:AW34"/>
    <mergeCell ref="B35:E35"/>
    <mergeCell ref="F35:AF35"/>
    <mergeCell ref="AG35:AI35"/>
    <mergeCell ref="AJ35:AK35"/>
    <mergeCell ref="AL35:AQ35"/>
    <mergeCell ref="AR35:AW35"/>
    <mergeCell ref="B32:E32"/>
    <mergeCell ref="B33:E33"/>
    <mergeCell ref="B34:E34"/>
    <mergeCell ref="F34:AF34"/>
    <mergeCell ref="AG34:AI34"/>
    <mergeCell ref="AJ34:AK34"/>
    <mergeCell ref="N1:AV1"/>
    <mergeCell ref="C48:X48"/>
    <mergeCell ref="Z48:AW48"/>
    <mergeCell ref="P45:Q45"/>
    <mergeCell ref="R45:S45"/>
    <mergeCell ref="U45:AJ45"/>
    <mergeCell ref="C46:X46"/>
    <mergeCell ref="Z46:AW46"/>
    <mergeCell ref="C47:X47"/>
    <mergeCell ref="Z47:AW47"/>
    <mergeCell ref="AG39:AQ39"/>
    <mergeCell ref="AR39:AW39"/>
    <mergeCell ref="S41:T41"/>
    <mergeCell ref="U41:V41"/>
    <mergeCell ref="AG43:AJ43"/>
    <mergeCell ref="B44:AW44"/>
    <mergeCell ref="B36:AF36"/>
    <mergeCell ref="AG36:AQ36"/>
    <mergeCell ref="AR36:AW36"/>
    <mergeCell ref="AG37:AQ37"/>
    <mergeCell ref="AR37:AW37"/>
    <mergeCell ref="AG38:AQ38"/>
    <mergeCell ref="AR38:AW38"/>
    <mergeCell ref="AL34:AQ34"/>
  </mergeCells>
  <pageMargins left="0.39370078740157483" right="0.27559055118110237" top="0.39370078740157483" bottom="0" header="0.19685039370078741" footer="0.19685039370078741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ใบเสนอราคา2026</vt:lpstr>
      <vt:lpstr>ใบเสนอราคา2026!Print_Area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CHAIYOT</dc:creator>
  <cp:lastModifiedBy>TCCtech Nakorn Tungprapaporn</cp:lastModifiedBy>
  <cp:lastPrinted>2026-02-02T03:31:49Z</cp:lastPrinted>
  <dcterms:created xsi:type="dcterms:W3CDTF">2023-07-19T12:50:05Z</dcterms:created>
  <dcterms:modified xsi:type="dcterms:W3CDTF">2026-04-19T13:37:20Z</dcterms:modified>
</cp:coreProperties>
</file>